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 Year 2 Income" sheetId="1" r:id="rId4"/>
    <sheet state="visible" name="4-Year Projection" sheetId="2" r:id="rId5"/>
    <sheet state="visible" name="How to Use This" sheetId="3" r:id="rId6"/>
  </sheets>
  <definedNames/>
  <calcPr/>
  <extLst>
    <ext uri="GoogleSheetsCustomDataVersion2">
      <go:sheetsCustomData xmlns:go="http://customooxmlschemas.google.com/" r:id="rId7" roundtripDataChecksum="XiMPPu8y1lnfj1AAphHicW5dJJBuOzcHvy+KT77Vq/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======
ID#AAAB53kbxcQ
Unknown Author    (2026-05-07 14:32:23)
Clients turning 65 OR never on Medicare Advantage before. Paid at full new-to-Medicare rate.</t>
      </text>
    </comment>
    <comment authorId="0" ref="C10">
      <text>
        <t xml:space="preserve">======
ID#AAAB53kbxcM
Unknown Author    (2026-05-07 14:32:23)
THEI 2026 renewal rate. Verify your actual contracted figure.</t>
      </text>
    </comment>
    <comment authorId="0" ref="C19">
      <text>
        <t xml:space="preserve">======
ID#AAAB53kbxcI
Unknown Author    (2026-05-07 14:32:23)
Plan changes are paid at the renewal rate, not the new-to-Medicare rate.</t>
      </text>
    </comment>
    <comment authorId="0" ref="C18">
      <text>
        <t xml:space="preserve">======
ID#AAAB53kbxcE
Unknown Author    (2026-05-07 14:32:23)
Clients switching from one MA plan to another. CMS pays these at the renewal rate.</t>
      </text>
    </comment>
    <comment authorId="0" ref="C16">
      <text>
        <t xml:space="preserve">======
ID#AAAB53kbxcA
Unknown Author    (2026-05-07 14:32:23)
THEI 2026 new-to-Medicare commission rate. Verify your actual contracted figure.</t>
      </text>
    </comment>
    <comment authorId="0" ref="C9">
      <text>
        <t xml:space="preserve">======
ID#AAAB53kbxb8
Unknown Author    (2026-05-07 14:32:23)
Industry average is 75-80%. Top agents hit 90%+ with proactive outreach.</t>
      </text>
    </comment>
  </commentList>
  <extLst>
    <ext uri="GoogleSheetsCustomDataVersion2">
      <go:sheetsCustomData xmlns:go="http://customooxmlschemas.google.com/" r:id="rId1" roundtripDataSignature="AMtx7mijYGeKgjHTW9d+3cPknsUZol/WUA=="/>
    </ext>
  </extLst>
</comments>
</file>

<file path=xl/sharedStrings.xml><?xml version="1.0" encoding="utf-8"?>
<sst xmlns="http://schemas.openxmlformats.org/spreadsheetml/2006/main" count="74" uniqueCount="73">
  <si>
    <t>YEAR 2 INCOME CALCULATOR</t>
  </si>
  <si>
    <t>Year 1 you survived. Year 2 you build.</t>
  </si>
  <si>
    <t>INSTRUCTIONS: Fill in the YELLOW cells with your real numbers. Everything else calculates automatically. Blue = your inputs. Black = formulas.</t>
  </si>
  <si>
    <t>1. YOUR RENEWAL BOOK (income you already earned)</t>
  </si>
  <si>
    <t>💡 THE YEAR 2 INSIGHT</t>
  </si>
  <si>
    <t>Total clients enrolled in Year 1</t>
  </si>
  <si>
    <t>Expected retention rate (%)</t>
  </si>
  <si>
    <t>Your renewal book is income you've ALREADY EARNED.
Every client you keep this year = money in your pocket without picking up the phone to chase a new lead.</t>
  </si>
  <si>
    <t>Renewal commission per client (annual)</t>
  </si>
  <si>
    <t>Retained clients (auto-calculated)</t>
  </si>
  <si>
    <t>RENEWAL INCOME (Year 2)</t>
  </si>
  <si>
    <t>2. NEW ENROLLMENTS (split by enrollment type)</t>
  </si>
  <si>
    <t>True New-to-Medicare enrollments (T65)</t>
  </si>
  <si>
    <t>📊 WHAT THIS MEANS</t>
  </si>
  <si>
    <t>Commission per T65 enrollment</t>
  </si>
  <si>
    <t>T65 income (auto-calculated)</t>
  </si>
  <si>
    <t>Plan change enrollments (already on MA)</t>
  </si>
  <si>
    <t>Commission per plan change</t>
  </si>
  <si>
    <t>Plan change income (auto-calculated)</t>
  </si>
  <si>
    <t>TOTAL NEW ENROLLMENT INCOME</t>
  </si>
  <si>
    <t>Total enrollments (auto-calculated)</t>
  </si>
  <si>
    <t>% of income from renewals:</t>
  </si>
  <si>
    <t>3. YOUR TOTAL YEAR 2 INCOME</t>
  </si>
  <si>
    <t>This % grows every year you stay in the business</t>
  </si>
  <si>
    <t>TOTAL PROJECTED YEAR 2 INCOME</t>
  </si>
  <si>
    <t>Per week (52 weeks)</t>
  </si>
  <si>
    <t>Per month</t>
  </si>
  <si>
    <t>The Health Experts Insurance | Year 2 Income Calculator v2</t>
  </si>
  <si>
    <t>THE 4-YEAR COMPOUNDING EFFECT</t>
  </si>
  <si>
    <t>Same effort each year. Watch the renewal book grow.</t>
  </si>
  <si>
    <t>Adjust the YELLOW assumption cells below to see how your book grows. Each year's renewals build on top of all prior years' retained clients.</t>
  </si>
  <si>
    <t>ASSUMPTIONS (edit yellow cells)</t>
  </si>
  <si>
    <t>Year 1</t>
  </si>
  <si>
    <t>Year 2</t>
  </si>
  <si>
    <t>Year 3</t>
  </si>
  <si>
    <t>Year 4</t>
  </si>
  <si>
    <t>T65 enrollments per year</t>
  </si>
  <si>
    <t>Plan change enrollments per year</t>
  </si>
  <si>
    <t>Total enrollments (auto)</t>
  </si>
  <si>
    <t>Retention rate</t>
  </si>
  <si>
    <t>—</t>
  </si>
  <si>
    <t>T65 commission per enrollment</t>
  </si>
  <si>
    <t>Plan change commission per enrollment</t>
  </si>
  <si>
    <t>Renewal commission per client</t>
  </si>
  <si>
    <t>INCOME BREAKDOWN</t>
  </si>
  <si>
    <t>Retained book entering year</t>
  </si>
  <si>
    <t>Renewal income</t>
  </si>
  <si>
    <t>T65 enrollment income</t>
  </si>
  <si>
    <t>Plan change enrollment income</t>
  </si>
  <si>
    <t>TOTAL ANNUAL INCOME</t>
  </si>
  <si>
    <t>Growth vs. prior year</t>
  </si>
  <si>
    <t>% from renewals</t>
  </si>
  <si>
    <t>0%</t>
  </si>
  <si>
    <t>💰 THE TAKEAWAY</t>
  </si>
  <si>
    <t>The Health Experts Insurance | 4-Year Compounding Projection v2</t>
  </si>
  <si>
    <t>HOW TO USE THIS CALCULATOR</t>
  </si>
  <si>
    <t>STEP 1: Open 'My Year 2 Income' tab</t>
  </si>
  <si>
    <t>This is your personal calculator. Fill in the YELLOW cells with your real numbers. Everything else updates automatically.</t>
  </si>
  <si>
    <t>STEP 2: Understand the T65 vs Plan Change split</t>
  </si>
  <si>
    <t>T65 (true new-to-Medicare) enrollments pay $694 each. Plan change enrollments — clients switching from one MA plan to another — pay $347 each (the renewal rate). CMS sets these rates. Your enrollment mix matters a lot to your income.</t>
  </si>
  <si>
    <t>STEP 3: Be honest about retention</t>
  </si>
  <si>
    <t>Industry average is 75-80%. Top agents hit 90%+ with proactive AEP outreach, August client portal updates, and quarterly check-ins. Pick the rate that reflects what you'll actually do.</t>
  </si>
  <si>
    <t>STEP 4: Set realistic enrollment goals</t>
  </si>
  <si>
    <t>Don't pick fantasy numbers. Pick goals you can break down into weekly activity. Top Year 1 agents hit 40+ enrollments in AEP alone. 100 enrollments across a full year (AEP + year-round T65 + SEPs) is a fair Year 2 target.</t>
  </si>
  <si>
    <t>STEP 5: Look at the 4-Year Projection tab</t>
  </si>
  <si>
    <t>This is the most important view. It shows what happens when you stack Year 1 + Year 2 + Year 3 + Year 4 books on top of each other. Same effort each year. Bigger income each year. That's the compounding.</t>
  </si>
  <si>
    <t>STEP 6: Use it in 1-on-1s</t>
  </si>
  <si>
    <t>Bring this calculator to every coaching conversation. It turns 'try harder' into 'here's exactly what's at stake if you retain 5 more clients this year.'</t>
  </si>
  <si>
    <t>COLOR KEY</t>
  </si>
  <si>
    <t>Yellow cells = YOUR INPUTS  —  Edit these. They drive every calculation.</t>
  </si>
  <si>
    <t>Black numbers = FORMULAS  —  Don't edit. These calculate based on your inputs.</t>
  </si>
  <si>
    <t>Pink banners = KEY RESULTS  —  These are your headline numbers.</t>
  </si>
  <si>
    <t>⚡ Remember: Year 1 you survived. Year 2 you build.
This calculator turns abstract effort into concrete dollars. Print your numbers. Tape them to your monitor. Make them real.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</si>
</sst>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\+0%;\-0%;\-"/>
  </numFmts>
  <fonts count="28">
    <font>
      <sz val="11.0"/>
      <color theme="1"/>
      <name val="Calibri"/>
      <scheme val="minor"/>
    </font>
    <font>
      <b/>
      <sz val="20.0"/>
      <color rgb="FFE91E63"/>
      <name val="Arial"/>
    </font>
    <font/>
    <font>
      <i/>
      <sz val="12.0"/>
      <color rgb="FF2E1A47"/>
      <name val="Arial"/>
    </font>
    <font>
      <i/>
      <sz val="10.0"/>
      <color rgb="FF666666"/>
      <name val="Arial"/>
    </font>
    <font>
      <b/>
      <sz val="12.0"/>
      <color rgb="FFFFFFFF"/>
      <name val="Arial"/>
    </font>
    <font>
      <b/>
      <sz val="13.0"/>
      <color rgb="FFFFFFFF"/>
      <name val="Arial"/>
    </font>
    <font>
      <b/>
      <sz val="11.0"/>
      <color rgb="FF2E1A47"/>
      <name val="Arial"/>
    </font>
    <font>
      <b/>
      <sz val="11.0"/>
      <color rgb="FF0000FF"/>
      <name val="Arial"/>
    </font>
    <font>
      <sz val="10.0"/>
      <color rgb="FF2E1A47"/>
      <name val="Arial"/>
    </font>
    <font>
      <i/>
      <sz val="11.0"/>
      <color rgb="FF666666"/>
      <name val="Arial"/>
    </font>
    <font>
      <sz val="11.0"/>
      <color rgb="FF000000"/>
      <name val="Arial"/>
    </font>
    <font>
      <b/>
      <sz val="12.0"/>
      <color rgb="FF2E1A47"/>
      <name val="Arial"/>
    </font>
    <font>
      <b/>
      <sz val="12.0"/>
      <color rgb="FFE91E63"/>
      <name val="Arial"/>
    </font>
    <font>
      <b/>
      <sz val="18.0"/>
      <color rgb="FFE91E63"/>
      <name val="Arial"/>
    </font>
    <font>
      <i/>
      <sz val="9.0"/>
      <color rgb="FF666666"/>
      <name val="Arial"/>
    </font>
    <font>
      <b/>
      <sz val="14.0"/>
      <color rgb="FFFFFFFF"/>
      <name val="Arial"/>
    </font>
    <font>
      <b/>
      <sz val="22.0"/>
      <color rgb="FFE91E63"/>
      <name val="Arial"/>
    </font>
    <font>
      <i/>
      <sz val="9.0"/>
      <color rgb="FF999999"/>
      <name val="Arial"/>
    </font>
    <font>
      <b/>
      <sz val="20.0"/>
      <color rgb="FFFFFFFF"/>
      <name val="Arial"/>
    </font>
    <font>
      <sz val="11.0"/>
      <color rgb="FF999999"/>
      <name val="Arial"/>
    </font>
    <font>
      <sz val="10.0"/>
      <color rgb="FF999999"/>
      <name val="Arial"/>
    </font>
    <font>
      <b/>
      <sz val="11.0"/>
      <color rgb="FF2E8B57"/>
      <name val="Arial"/>
    </font>
    <font>
      <sz val="11.0"/>
      <color rgb="FF2E1A47"/>
      <name val="Arial"/>
    </font>
    <font>
      <sz val="12.0"/>
      <color rgb="FF2E1A47"/>
      <name val="Arial"/>
    </font>
    <font>
      <b/>
      <sz val="11.0"/>
      <color rgb="FF000000"/>
      <name val="Arial"/>
    </font>
    <font>
      <b/>
      <sz val="11.0"/>
      <color rgb="FFE91E63"/>
      <name val="Arial"/>
    </font>
    <font>
      <b/>
      <i/>
      <sz val="12.0"/>
      <color rgb="FF2E1A4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2E1A47"/>
        <bgColor rgb="FF2E1A47"/>
      </patternFill>
    </fill>
    <fill>
      <patternFill patternType="solid">
        <fgColor rgb="FFFFF9C4"/>
        <bgColor rgb="FFFFF9C4"/>
      </patternFill>
    </fill>
    <fill>
      <patternFill patternType="solid">
        <fgColor rgb="FFF5F5F5"/>
        <bgColor rgb="FFF5F5F5"/>
      </patternFill>
    </fill>
    <fill>
      <patternFill patternType="solid">
        <fgColor rgb="FFFCE4EC"/>
        <bgColor rgb="FFFCE4EC"/>
      </patternFill>
    </fill>
    <fill>
      <patternFill patternType="solid">
        <fgColor rgb="FFE91E63"/>
        <bgColor rgb="FFE91E63"/>
      </patternFill>
    </fill>
    <fill>
      <patternFill patternType="solid">
        <fgColor rgb="FFFFFFFF"/>
        <bgColor rgb="FFFFFFFF"/>
      </patternFill>
    </fill>
  </fills>
  <borders count="2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right/>
      <top/>
      <bottom/>
    </border>
    <border>
      <left/>
      <right/>
      <top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bottom/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/>
      <right/>
      <top/>
      <bottom/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top/>
      <bottom/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/>
      <top style="thin">
        <color rgb="FFCCCCCC"/>
      </top>
    </border>
    <border>
      <left style="thin">
        <color rgb="FFCCCCCC"/>
      </left>
    </border>
    <border>
      <right/>
    </border>
    <border>
      <left style="thin">
        <color rgb="FFCCCCCC"/>
      </left>
      <bottom/>
    </border>
    <border>
      <left style="thin">
        <color rgb="FFCCCCCC"/>
      </left>
      <right style="thin">
        <color rgb="FFCCCCCC"/>
      </right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7" fillId="3" fontId="5" numFmtId="0" xfId="0" applyAlignment="1" applyBorder="1" applyFill="1" applyFont="1">
      <alignment horizontal="left" shrinkToFit="0" vertical="center" wrapText="1"/>
    </xf>
    <xf borderId="8" fillId="0" fontId="2" numFmtId="0" xfId="0" applyBorder="1" applyFont="1"/>
    <xf borderId="9" fillId="3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10" fillId="4" fontId="8" numFmtId="3" xfId="0" applyAlignment="1" applyBorder="1" applyFill="1" applyFont="1" applyNumberFormat="1">
      <alignment horizontal="right" shrinkToFit="0" vertical="center" wrapText="0"/>
    </xf>
    <xf borderId="11" fillId="0" fontId="2" numFmtId="0" xfId="0" applyBorder="1" applyFont="1"/>
    <xf borderId="10" fillId="4" fontId="8" numFmtId="9" xfId="0" applyAlignment="1" applyBorder="1" applyFont="1" applyNumberFormat="1">
      <alignment horizontal="right" shrinkToFit="0" vertical="center" wrapText="0"/>
    </xf>
    <xf borderId="12" fillId="5" fontId="9" numFmtId="0" xfId="0" applyAlignment="1" applyBorder="1" applyFill="1" applyFont="1">
      <alignment horizontal="left" shrinkToFit="0" vertical="top" wrapText="1"/>
    </xf>
    <xf borderId="10" fillId="4" fontId="8" numFmtId="164" xfId="0" applyAlignment="1" applyBorder="1" applyFont="1" applyNumberFormat="1">
      <alignment horizontal="right" shrinkToFit="0" vertical="center" wrapText="0"/>
    </xf>
    <xf borderId="13" fillId="0" fontId="2" numFmtId="0" xfId="0" applyBorder="1" applyFont="1"/>
    <xf borderId="0" fillId="0" fontId="10" numFmtId="0" xfId="0" applyAlignment="1" applyFont="1">
      <alignment shrinkToFit="0" vertical="bottom" wrapText="0"/>
    </xf>
    <xf borderId="10" fillId="5" fontId="11" numFmtId="3" xfId="0" applyAlignment="1" applyBorder="1" applyFont="1" applyNumberFormat="1">
      <alignment horizontal="right" shrinkToFit="0" vertical="center" wrapText="0"/>
    </xf>
    <xf borderId="14" fillId="6" fontId="12" numFmtId="0" xfId="0" applyAlignment="1" applyBorder="1" applyFill="1" applyFont="1">
      <alignment shrinkToFit="0" vertical="bottom" wrapText="0"/>
    </xf>
    <xf borderId="10" fillId="6" fontId="13" numFmtId="164" xfId="0" applyAlignment="1" applyBorder="1" applyFont="1" applyNumberFormat="1">
      <alignment horizontal="right" shrinkToFit="0" vertical="center" wrapText="0"/>
    </xf>
    <xf borderId="15" fillId="0" fontId="2" numFmtId="0" xfId="0" applyBorder="1" applyFont="1"/>
    <xf borderId="10" fillId="5" fontId="11" numFmtId="164" xfId="0" applyAlignment="1" applyBorder="1" applyFont="1" applyNumberFormat="1">
      <alignment horizontal="right" shrinkToFit="0" vertical="center" wrapText="0"/>
    </xf>
    <xf borderId="0" fillId="0" fontId="7" numFmtId="0" xfId="0" applyAlignment="1" applyFont="1">
      <alignment horizontal="left" shrinkToFit="0" vertical="center" wrapText="1"/>
    </xf>
    <xf borderId="0" fillId="0" fontId="14" numFmtId="9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7" fillId="7" fontId="16" numFmtId="0" xfId="0" applyAlignment="1" applyBorder="1" applyFill="1" applyFont="1">
      <alignment horizontal="center" shrinkToFit="0" vertical="center" wrapText="1"/>
    </xf>
    <xf borderId="7" fillId="6" fontId="17" numFmtId="164" xfId="0" applyAlignment="1" applyBorder="1" applyFont="1" applyNumberFormat="1">
      <alignment horizontal="center" shrinkToFit="0" vertical="center" wrapText="1"/>
    </xf>
    <xf borderId="0" fillId="0" fontId="11" numFmtId="164" xfId="0" applyAlignment="1" applyFont="1" applyNumberFormat="1">
      <alignment horizontal="right" shrinkToFit="0" vertical="center" wrapText="0"/>
    </xf>
    <xf borderId="0" fillId="0" fontId="18" numFmtId="0" xfId="0" applyAlignment="1" applyFont="1">
      <alignment horizontal="center" shrinkToFit="0" vertical="center" wrapText="1"/>
    </xf>
    <xf borderId="1" fillId="7" fontId="19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4" fillId="7" fontId="16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10" fillId="0" fontId="11" numFmtId="164" xfId="0" applyAlignment="1" applyBorder="1" applyFont="1" applyNumberFormat="1">
      <alignment horizontal="right" shrinkToFit="0" vertical="center" wrapText="0"/>
    </xf>
    <xf borderId="14" fillId="7" fontId="5" numFmtId="0" xfId="0" applyAlignment="1" applyBorder="1" applyFont="1">
      <alignment shrinkToFit="0" vertical="bottom" wrapText="0"/>
    </xf>
    <xf borderId="10" fillId="7" fontId="5" numFmtId="164" xfId="0" applyAlignment="1" applyBorder="1" applyFont="1" applyNumberFormat="1">
      <alignment horizontal="right" shrinkToFit="0" vertical="center" wrapText="0"/>
    </xf>
    <xf borderId="0" fillId="0" fontId="15" numFmtId="0" xfId="0" applyAlignment="1" applyFont="1">
      <alignment shrinkToFit="0" vertical="bottom" wrapText="0"/>
    </xf>
    <xf borderId="0" fillId="0" fontId="21" numFmtId="0" xfId="0" applyAlignment="1" applyFont="1">
      <alignment horizontal="center" shrinkToFit="0" vertical="center" wrapText="1"/>
    </xf>
    <xf borderId="0" fillId="0" fontId="22" numFmtId="165" xfId="0" applyAlignment="1" applyFont="1" applyNumberFormat="1">
      <alignment horizontal="right" shrinkToFit="0" vertical="center" wrapText="0"/>
    </xf>
    <xf borderId="0" fillId="0" fontId="21" numFmtId="0" xfId="0" applyAlignment="1" applyFont="1">
      <alignment horizontal="right" shrinkToFit="0" vertical="center" wrapText="0"/>
    </xf>
    <xf borderId="0" fillId="0" fontId="23" numFmtId="9" xfId="0" applyAlignment="1" applyFont="1" applyNumberFormat="1">
      <alignment horizontal="right" shrinkToFit="0" vertical="center" wrapText="0"/>
    </xf>
    <xf borderId="17" fillId="6" fontId="24" numFmtId="0" xfId="0" applyAlignment="1" applyBorder="1" applyFont="1">
      <alignment horizontal="left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0" fillId="0" fontId="13" numFmtId="0" xfId="0" applyAlignment="1" applyFont="1">
      <alignment horizontal="left" shrinkToFit="0" vertical="center" wrapText="1"/>
    </xf>
    <xf borderId="0" fillId="0" fontId="23" numFmtId="0" xfId="0" applyAlignment="1" applyFont="1">
      <alignment horizontal="left" shrinkToFit="0" vertical="top" wrapText="1"/>
    </xf>
    <xf borderId="14" fillId="3" fontId="5" numFmtId="0" xfId="0" applyAlignment="1" applyBorder="1" applyFont="1">
      <alignment horizontal="left" shrinkToFit="0" vertical="center" wrapText="1"/>
    </xf>
    <xf borderId="10" fillId="4" fontId="8" numFmtId="0" xfId="0" applyAlignment="1" applyBorder="1" applyFont="1">
      <alignment horizontal="left" shrinkToFit="0" vertical="center" wrapText="1"/>
    </xf>
    <xf borderId="10" fillId="8" fontId="25" numFmtId="0" xfId="0" applyAlignment="1" applyBorder="1" applyFill="1" applyFont="1">
      <alignment horizontal="left" shrinkToFit="0" vertical="center" wrapText="1"/>
    </xf>
    <xf borderId="10" fillId="6" fontId="26" numFmtId="0" xfId="0" applyAlignment="1" applyBorder="1" applyFont="1">
      <alignment horizontal="left" shrinkToFit="0" vertical="center" wrapText="1"/>
    </xf>
    <xf borderId="12" fillId="6" fontId="27" numFmtId="0" xfId="0" applyAlignment="1" applyBorder="1" applyFont="1">
      <alignment horizontal="center" shrinkToFit="0" vertical="center" wrapText="1"/>
    </xf>
    <xf borderId="23" fillId="0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8.0"/>
    <col customWidth="1" min="3" max="3" width="18.0"/>
    <col customWidth="1" min="4" max="4" width="3.0"/>
    <col customWidth="1" min="5" max="5" width="35.0"/>
    <col customWidth="1" min="6" max="26" width="8.71"/>
  </cols>
  <sheetData>
    <row r="1" ht="27.75" customHeight="1">
      <c r="A1" s="1" t="s">
        <v>0</v>
      </c>
      <c r="B1" s="2"/>
      <c r="C1" s="2"/>
      <c r="D1" s="2"/>
      <c r="E1" s="3"/>
    </row>
    <row r="2" ht="27.75" customHeight="1">
      <c r="A2" s="4"/>
      <c r="B2" s="5"/>
      <c r="C2" s="5"/>
      <c r="D2" s="5"/>
      <c r="E2" s="6"/>
    </row>
    <row r="3" ht="21.75" customHeight="1">
      <c r="A3" s="7" t="s">
        <v>1</v>
      </c>
    </row>
    <row r="4" ht="18.0" customHeight="1">
      <c r="A4" s="8" t="s">
        <v>2</v>
      </c>
    </row>
    <row r="5" ht="18.0" customHeight="1"/>
    <row r="7" ht="24.0" customHeight="1">
      <c r="B7" s="9" t="s">
        <v>3</v>
      </c>
      <c r="C7" s="10"/>
      <c r="E7" s="11" t="s">
        <v>4</v>
      </c>
    </row>
    <row r="8" ht="18.0" customHeight="1">
      <c r="B8" s="12" t="s">
        <v>5</v>
      </c>
      <c r="C8" s="13">
        <v>100.0</v>
      </c>
      <c r="E8" s="14"/>
    </row>
    <row r="9" ht="18.0" customHeight="1">
      <c r="B9" s="12" t="s">
        <v>6</v>
      </c>
      <c r="C9" s="15">
        <v>0.85</v>
      </c>
      <c r="E9" s="16" t="s">
        <v>7</v>
      </c>
    </row>
    <row r="10" ht="18.0" customHeight="1">
      <c r="B10" s="12" t="s">
        <v>8</v>
      </c>
      <c r="C10" s="17">
        <v>347.0</v>
      </c>
      <c r="E10" s="18"/>
    </row>
    <row r="11" ht="18.0" customHeight="1">
      <c r="B11" s="19" t="s">
        <v>9</v>
      </c>
      <c r="C11" s="20">
        <f>ROUND(C8*C9,0)</f>
        <v>85</v>
      </c>
      <c r="E11" s="18"/>
    </row>
    <row r="12" ht="21.75" customHeight="1">
      <c r="B12" s="21" t="s">
        <v>10</v>
      </c>
      <c r="C12" s="22">
        <f>C11*C10</f>
        <v>29495</v>
      </c>
      <c r="E12" s="18"/>
    </row>
    <row r="13" ht="18.0" customHeight="1">
      <c r="E13" s="23"/>
    </row>
    <row r="14" ht="24.0" customHeight="1">
      <c r="B14" s="9" t="s">
        <v>11</v>
      </c>
      <c r="C14" s="10"/>
    </row>
    <row r="15" ht="15.0" customHeight="1">
      <c r="B15" s="12" t="s">
        <v>12</v>
      </c>
      <c r="C15" s="13">
        <v>30.0</v>
      </c>
      <c r="E15" s="11" t="s">
        <v>13</v>
      </c>
    </row>
    <row r="16">
      <c r="B16" s="12" t="s">
        <v>14</v>
      </c>
      <c r="C16" s="17">
        <v>694.0</v>
      </c>
      <c r="E16" s="14"/>
    </row>
    <row r="17">
      <c r="B17" s="19" t="s">
        <v>15</v>
      </c>
      <c r="C17" s="24">
        <f>C15*C16</f>
        <v>20820</v>
      </c>
      <c r="E17" s="16" t="str">
        <f>CONCATENATE("Your renewal book alone pays $",TEXT(C12,"#,##0")," — that's $",TEXT(ROUND(C12/12,0),"#,##0")," every single month before you write a single new policy.")</f>
        <v>Your renewal book alone pays $29,495 — that's $2,458 every single month before you write a single new policy.</v>
      </c>
    </row>
    <row r="18">
      <c r="B18" s="12" t="s">
        <v>16</v>
      </c>
      <c r="C18" s="13">
        <v>70.0</v>
      </c>
      <c r="E18" s="18"/>
    </row>
    <row r="19">
      <c r="B19" s="12" t="s">
        <v>17</v>
      </c>
      <c r="C19" s="17">
        <v>347.0</v>
      </c>
      <c r="E19" s="18"/>
    </row>
    <row r="20">
      <c r="B20" s="19" t="s">
        <v>18</v>
      </c>
      <c r="C20" s="24">
        <f>C18*C19</f>
        <v>24290</v>
      </c>
      <c r="E20" s="23"/>
    </row>
    <row r="21" ht="21.75" customHeight="1">
      <c r="B21" s="21" t="s">
        <v>19</v>
      </c>
      <c r="C21" s="22">
        <f>C17+C20</f>
        <v>45110</v>
      </c>
    </row>
    <row r="22" ht="15.75" customHeight="1">
      <c r="B22" s="19" t="s">
        <v>20</v>
      </c>
      <c r="C22" s="20">
        <f>C15+C18</f>
        <v>100</v>
      </c>
      <c r="E22" s="25" t="s">
        <v>21</v>
      </c>
    </row>
    <row r="23" ht="30.0" customHeight="1">
      <c r="E23" s="26">
        <f>C12/(C12+C21)</f>
        <v>0.3953488372</v>
      </c>
    </row>
    <row r="24" ht="24.0" customHeight="1">
      <c r="B24" s="9" t="s">
        <v>22</v>
      </c>
      <c r="C24" s="10"/>
      <c r="E24" s="27" t="s">
        <v>23</v>
      </c>
    </row>
    <row r="25" ht="27.75" customHeight="1">
      <c r="B25" s="28" t="s">
        <v>24</v>
      </c>
      <c r="C25" s="10"/>
    </row>
    <row r="26" ht="39.75" customHeight="1">
      <c r="B26" s="29">
        <f>C12+C21</f>
        <v>74605</v>
      </c>
      <c r="C26" s="10"/>
    </row>
    <row r="27" ht="15.75" customHeight="1">
      <c r="B27" s="27" t="str">
        <f>CONCATENATE("Renewals: $", TEXT(C12,"#,##0"), "  |  New: $", TEXT(C21,"#,##0"))</f>
        <v>Renewals: $29,495  |  New: $45,110</v>
      </c>
    </row>
    <row r="28" ht="15.75" customHeight="1"/>
    <row r="29" ht="15.75" customHeight="1">
      <c r="B29" s="12" t="s">
        <v>25</v>
      </c>
      <c r="C29" s="30">
        <f>ROUND((C12+C21)/52,0)</f>
        <v>1435</v>
      </c>
    </row>
    <row r="30" ht="15.75" customHeight="1">
      <c r="B30" s="12" t="s">
        <v>26</v>
      </c>
      <c r="C30" s="30">
        <f>ROUND((C12+C21)/12,0)</f>
        <v>6217</v>
      </c>
    </row>
    <row r="31" ht="15.75" customHeight="1"/>
    <row r="32" ht="15.0" customHeight="1">
      <c r="A32" s="31" t="s">
        <v>27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15:E16"/>
    <mergeCell ref="E17:E20"/>
    <mergeCell ref="B24:C24"/>
    <mergeCell ref="B25:C25"/>
    <mergeCell ref="B26:C26"/>
    <mergeCell ref="B27:C27"/>
    <mergeCell ref="A32:E32"/>
    <mergeCell ref="A1:E2"/>
    <mergeCell ref="A3:E3"/>
    <mergeCell ref="A4:E5"/>
    <mergeCell ref="B7:C7"/>
    <mergeCell ref="E7:E8"/>
    <mergeCell ref="E9:E13"/>
    <mergeCell ref="B14:C14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6" width="16.0"/>
    <col customWidth="1" min="7" max="26" width="8.71"/>
  </cols>
  <sheetData>
    <row r="1" ht="27.75" customHeight="1">
      <c r="A1" s="32" t="s">
        <v>28</v>
      </c>
      <c r="B1" s="2"/>
      <c r="C1" s="2"/>
      <c r="D1" s="2"/>
      <c r="E1" s="2"/>
      <c r="F1" s="3"/>
    </row>
    <row r="2" ht="27.75" customHeight="1">
      <c r="A2" s="4"/>
      <c r="B2" s="5"/>
      <c r="C2" s="5"/>
      <c r="D2" s="5"/>
      <c r="E2" s="5"/>
      <c r="F2" s="6"/>
    </row>
    <row r="3" ht="21.75" customHeight="1">
      <c r="A3" s="7" t="s">
        <v>29</v>
      </c>
    </row>
    <row r="4" ht="18.0" customHeight="1">
      <c r="A4" s="8" t="s">
        <v>30</v>
      </c>
    </row>
    <row r="5" ht="18.0" customHeight="1"/>
    <row r="7" ht="21.75" customHeight="1">
      <c r="B7" s="9" t="s">
        <v>31</v>
      </c>
      <c r="C7" s="33"/>
      <c r="D7" s="33"/>
      <c r="E7" s="33"/>
      <c r="F7" s="10"/>
    </row>
    <row r="8" ht="24.0" customHeight="1">
      <c r="C8" s="34" t="s">
        <v>32</v>
      </c>
      <c r="D8" s="34" t="s">
        <v>33</v>
      </c>
      <c r="E8" s="34" t="s">
        <v>34</v>
      </c>
      <c r="F8" s="34" t="s">
        <v>35</v>
      </c>
    </row>
    <row r="9">
      <c r="B9" s="12" t="s">
        <v>36</v>
      </c>
      <c r="C9" s="13">
        <v>30.0</v>
      </c>
      <c r="D9" s="13">
        <v>30.0</v>
      </c>
      <c r="E9" s="13">
        <v>30.0</v>
      </c>
      <c r="F9" s="13">
        <v>30.0</v>
      </c>
    </row>
    <row r="10">
      <c r="B10" s="12" t="s">
        <v>37</v>
      </c>
      <c r="C10" s="13">
        <v>70.0</v>
      </c>
      <c r="D10" s="13">
        <v>70.0</v>
      </c>
      <c r="E10" s="13">
        <v>70.0</v>
      </c>
      <c r="F10" s="13">
        <v>70.0</v>
      </c>
    </row>
    <row r="11">
      <c r="B11" s="19" t="s">
        <v>38</v>
      </c>
      <c r="C11" s="20">
        <f t="shared" ref="C11:F11" si="1">C9+C10</f>
        <v>100</v>
      </c>
      <c r="D11" s="20">
        <f t="shared" si="1"/>
        <v>100</v>
      </c>
      <c r="E11" s="20">
        <f t="shared" si="1"/>
        <v>100</v>
      </c>
      <c r="F11" s="20">
        <f t="shared" si="1"/>
        <v>100</v>
      </c>
    </row>
    <row r="12">
      <c r="B12" s="12" t="s">
        <v>39</v>
      </c>
      <c r="C12" s="35" t="s">
        <v>40</v>
      </c>
      <c r="D12" s="15">
        <v>0.85</v>
      </c>
      <c r="E12" s="15">
        <v>0.85</v>
      </c>
      <c r="F12" s="15">
        <v>0.85</v>
      </c>
    </row>
    <row r="13">
      <c r="B13" s="12" t="s">
        <v>41</v>
      </c>
      <c r="C13" s="17">
        <v>694.0</v>
      </c>
      <c r="D13" s="17">
        <v>694.0</v>
      </c>
      <c r="E13" s="17">
        <v>694.0</v>
      </c>
      <c r="F13" s="17">
        <v>694.0</v>
      </c>
    </row>
    <row r="14">
      <c r="B14" s="12" t="s">
        <v>42</v>
      </c>
      <c r="C14" s="17">
        <v>347.0</v>
      </c>
      <c r="D14" s="17">
        <v>347.0</v>
      </c>
      <c r="E14" s="17">
        <v>347.0</v>
      </c>
      <c r="F14" s="17">
        <v>347.0</v>
      </c>
    </row>
    <row r="15">
      <c r="B15" s="12" t="s">
        <v>43</v>
      </c>
      <c r="C15" s="17">
        <v>347.0</v>
      </c>
      <c r="D15" s="17">
        <v>347.0</v>
      </c>
      <c r="E15" s="17">
        <v>347.0</v>
      </c>
      <c r="F15" s="17">
        <v>347.0</v>
      </c>
    </row>
    <row r="17" ht="21.75" customHeight="1">
      <c r="B17" s="9" t="s">
        <v>44</v>
      </c>
      <c r="C17" s="33"/>
      <c r="D17" s="33"/>
      <c r="E17" s="33"/>
      <c r="F17" s="10"/>
    </row>
    <row r="18">
      <c r="B18" s="19" t="s">
        <v>45</v>
      </c>
      <c r="C18" s="20">
        <v>0.0</v>
      </c>
      <c r="D18" s="20">
        <f>C11*D12</f>
        <v>85</v>
      </c>
      <c r="E18" s="20">
        <f t="shared" ref="E18:F18" si="2">(D18+D11)*E12</f>
        <v>157.25</v>
      </c>
      <c r="F18" s="20">
        <f t="shared" si="2"/>
        <v>218.6625</v>
      </c>
    </row>
    <row r="19">
      <c r="B19" s="12" t="s">
        <v>46</v>
      </c>
      <c r="C19" s="36">
        <v>0.0</v>
      </c>
      <c r="D19" s="36">
        <f t="shared" ref="D19:F19" si="3">D18*D15</f>
        <v>29495</v>
      </c>
      <c r="E19" s="36">
        <f t="shared" si="3"/>
        <v>54565.75</v>
      </c>
      <c r="F19" s="36">
        <f t="shared" si="3"/>
        <v>75875.8875</v>
      </c>
    </row>
    <row r="20">
      <c r="B20" s="12" t="s">
        <v>47</v>
      </c>
      <c r="C20" s="36">
        <f t="shared" ref="C20:F20" si="4">C9*C13</f>
        <v>20820</v>
      </c>
      <c r="D20" s="36">
        <f t="shared" si="4"/>
        <v>20820</v>
      </c>
      <c r="E20" s="36">
        <f t="shared" si="4"/>
        <v>20820</v>
      </c>
      <c r="F20" s="36">
        <f t="shared" si="4"/>
        <v>20820</v>
      </c>
    </row>
    <row r="21" ht="15.75" customHeight="1">
      <c r="B21" s="12" t="s">
        <v>48</v>
      </c>
      <c r="C21" s="36">
        <f t="shared" ref="C21:F21" si="5">C10*C14</f>
        <v>24290</v>
      </c>
      <c r="D21" s="36">
        <f t="shared" si="5"/>
        <v>24290</v>
      </c>
      <c r="E21" s="36">
        <f t="shared" si="5"/>
        <v>24290</v>
      </c>
      <c r="F21" s="36">
        <f t="shared" si="5"/>
        <v>24290</v>
      </c>
    </row>
    <row r="22" ht="25.5" customHeight="1">
      <c r="B22" s="37" t="s">
        <v>49</v>
      </c>
      <c r="C22" s="38">
        <f t="shared" ref="C22:F22" si="6">C19+C20+C21</f>
        <v>45110</v>
      </c>
      <c r="D22" s="38">
        <f t="shared" si="6"/>
        <v>74605</v>
      </c>
      <c r="E22" s="38">
        <f t="shared" si="6"/>
        <v>99675.75</v>
      </c>
      <c r="F22" s="38">
        <f t="shared" si="6"/>
        <v>120985.8875</v>
      </c>
    </row>
    <row r="23" ht="15.75" customHeight="1">
      <c r="B23" s="39" t="s">
        <v>50</v>
      </c>
      <c r="C23" s="40" t="s">
        <v>40</v>
      </c>
      <c r="D23" s="41">
        <f t="shared" ref="D23:F23" si="7">IFERROR((D22-C22)/C22,0)</f>
        <v>0.6538461538</v>
      </c>
      <c r="E23" s="41">
        <f t="shared" si="7"/>
        <v>0.3360465116</v>
      </c>
      <c r="F23" s="41">
        <f t="shared" si="7"/>
        <v>0.213794604</v>
      </c>
    </row>
    <row r="24" ht="15.75" customHeight="1">
      <c r="B24" s="39" t="s">
        <v>51</v>
      </c>
      <c r="C24" s="42" t="s">
        <v>52</v>
      </c>
      <c r="D24" s="43">
        <f t="shared" ref="D24:F24" si="8">IFERROR(D19/D22,0)</f>
        <v>0.3953488372</v>
      </c>
      <c r="E24" s="43">
        <f t="shared" si="8"/>
        <v>0.54743255</v>
      </c>
      <c r="F24" s="43">
        <f t="shared" si="8"/>
        <v>0.6271465959</v>
      </c>
    </row>
    <row r="25" ht="15.75" customHeight="1"/>
    <row r="26" ht="24.0" customHeight="1">
      <c r="B26" s="9" t="s">
        <v>53</v>
      </c>
      <c r="C26" s="33"/>
      <c r="D26" s="33"/>
      <c r="E26" s="33"/>
      <c r="F26" s="10"/>
    </row>
    <row r="27" ht="30.0" customHeight="1">
      <c r="B27" s="44" t="str">
        <f>CONCATENATE("By Year 4, your renewals alone pay $",TEXT(F19,"#,##0")," — that is ",TEXT(F24,"0%")," of your income working FOR you. Same effort every year. Bigger paychecks every year. That is the compounding.")</f>
        <v>By Year 4, your renewals alone pay $75,876 — that is 63% of your income working FOR you. Same effort every year. Bigger paychecks every year. That is the compounding.</v>
      </c>
      <c r="C27" s="45"/>
      <c r="D27" s="45"/>
      <c r="E27" s="45"/>
      <c r="F27" s="46"/>
    </row>
    <row r="28" ht="21.75" customHeight="1">
      <c r="B28" s="47"/>
      <c r="F28" s="48"/>
    </row>
    <row r="29" ht="21.75" customHeight="1">
      <c r="B29" s="49"/>
      <c r="C29" s="5"/>
      <c r="D29" s="5"/>
      <c r="E29" s="5"/>
      <c r="F29" s="6"/>
    </row>
    <row r="30" ht="15.75" customHeight="1"/>
    <row r="31" ht="15.75" customHeight="1"/>
    <row r="32" ht="15.0" customHeight="1">
      <c r="A32" s="31" t="s">
        <v>54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2"/>
    <mergeCell ref="A3:F3"/>
    <mergeCell ref="A4:F5"/>
    <mergeCell ref="B7:F7"/>
    <mergeCell ref="B17:F17"/>
    <mergeCell ref="B26:F26"/>
    <mergeCell ref="B27:F29"/>
    <mergeCell ref="A32:F3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95.0"/>
    <col customWidth="1" min="3" max="26" width="8.71"/>
  </cols>
  <sheetData>
    <row r="1" ht="27.75" customHeight="1">
      <c r="A1" s="32" t="s">
        <v>55</v>
      </c>
      <c r="B1" s="3"/>
    </row>
    <row r="2" ht="27.75" customHeight="1">
      <c r="A2" s="4"/>
      <c r="B2" s="6"/>
    </row>
    <row r="4" ht="21.75" customHeight="1">
      <c r="B4" s="50" t="s">
        <v>56</v>
      </c>
    </row>
    <row r="5" ht="42.0" customHeight="1">
      <c r="B5" s="51" t="s">
        <v>57</v>
      </c>
    </row>
    <row r="7" ht="21.75" customHeight="1">
      <c r="B7" s="50" t="s">
        <v>58</v>
      </c>
    </row>
    <row r="8" ht="42.0" customHeight="1">
      <c r="B8" s="51" t="s">
        <v>59</v>
      </c>
    </row>
    <row r="10" ht="21.75" customHeight="1">
      <c r="B10" s="50" t="s">
        <v>60</v>
      </c>
    </row>
    <row r="11" ht="42.0" customHeight="1">
      <c r="B11" s="51" t="s">
        <v>61</v>
      </c>
    </row>
    <row r="13" ht="21.75" customHeight="1">
      <c r="B13" s="50" t="s">
        <v>62</v>
      </c>
    </row>
    <row r="14" ht="42.0" customHeight="1">
      <c r="B14" s="51" t="s">
        <v>63</v>
      </c>
    </row>
    <row r="16" ht="21.75" customHeight="1">
      <c r="B16" s="50" t="s">
        <v>64</v>
      </c>
    </row>
    <row r="17" ht="42.0" customHeight="1">
      <c r="B17" s="51" t="s">
        <v>65</v>
      </c>
    </row>
    <row r="19" ht="21.75" customHeight="1">
      <c r="B19" s="50" t="s">
        <v>66</v>
      </c>
    </row>
    <row r="20" ht="42.0" customHeight="1">
      <c r="B20" s="51" t="s">
        <v>67</v>
      </c>
    </row>
    <row r="21" ht="15.75" customHeight="1"/>
    <row r="22" ht="21.75" customHeight="1">
      <c r="B22" s="52" t="s">
        <v>68</v>
      </c>
    </row>
    <row r="23" ht="21.75" customHeight="1">
      <c r="B23" s="53" t="s">
        <v>69</v>
      </c>
    </row>
    <row r="24" ht="21.75" customHeight="1">
      <c r="B24" s="54" t="s">
        <v>70</v>
      </c>
    </row>
    <row r="25" ht="21.75" customHeight="1">
      <c r="B25" s="55" t="s">
        <v>71</v>
      </c>
    </row>
    <row r="26" ht="15.75" customHeight="1"/>
    <row r="27" ht="25.5" customHeight="1">
      <c r="B27" s="56" t="s">
        <v>72</v>
      </c>
    </row>
    <row r="28" ht="25.5" customHeight="1">
      <c r="B28" s="18"/>
    </row>
    <row r="29" ht="25.5" customHeight="1">
      <c r="B29" s="5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2"/>
    <mergeCell ref="B27:B2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2026-05-05T22:03:13Z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